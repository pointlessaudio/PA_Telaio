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ine" sheetId="1" state="visible" r:id="rId3"/>
    <sheet name="Verifiche Seed3" sheetId="2" state="visible" r:id="rId4"/>
  </sheets>
  <definedNames>
    <definedName function="false" hidden="true" localSheetId="0" name="_xlnm._FilterDatabase" vbProcedure="false">Ordine!$A$1:$J$22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<sst xmlns="http://schemas.openxmlformats.org/spreadsheetml/2006/main" count="134" uniqueCount="97">
  <si>
    <t xml:space="preserve">#</t>
  </si>
  <si>
    <t xml:space="preserve">Fase</t>
  </si>
  <si>
    <t xml:space="preserve">Voce</t>
  </si>
  <si>
    <t xml:space="preserve">Q.tà</t>
  </si>
  <si>
    <t xml:space="preserve">Fornitore</t>
  </si>
  <si>
    <t xml:space="preserve">Riferimento / Link</t>
  </si>
  <si>
    <t xml:space="preserve">Prezzo unit. (EUR)</t>
  </si>
  <si>
    <t xml:space="preserve">Totale (EUR)</t>
  </si>
  <si>
    <t xml:space="preserve">Fatto</t>
  </si>
  <si>
    <t xml:space="preserve">Note</t>
  </si>
  <si>
    <t xml:space="preserve">0 - Da fare subito</t>
  </si>
  <si>
    <t xml:space="preserve">Pre-ordine relè CPC1018 nel Parts Manager JLCPCB (alternativa: CPC1019)</t>
  </si>
  <si>
    <t xml:space="preserve">JLCPCB Parts Manager</t>
  </si>
  <si>
    <t xml:space="preserve">https://jlcpcb.com/user-center/smtPrivateLibrary/</t>
  </si>
  <si>
    <t xml:space="preserve">Part # C133069 o C1558973 (CPC1018); alternative C1854946 o C2760117 (CPC1019). Serve 1-2 settimane per entrare in libreria: BLOCCA tutto il resto. Q.tà 6 = 5 schede + 1 scorta.</t>
  </si>
  <si>
    <t xml:space="preserve">1 - PCB</t>
  </si>
  <si>
    <t xml:space="preserve">Download gerber Rev6 (zip, NON scompattare)</t>
  </si>
  <si>
    <t xml:space="preserve">GitHub</t>
  </si>
  <si>
    <t xml:space="preserve">https://github.com/bkshepherd/DaisySeedProjects/blob/main/Hardware/GuitarPedal125b/pcb/JLCPCB-Gerbers/DaisySeedPedal125b-Rev6-gerbers.zip</t>
  </si>
  <si>
    <t xml:space="preserve">Gratis</t>
  </si>
  <si>
    <t xml:space="preserve">Download BOM JLCSMT (.xlsx)</t>
  </si>
  <si>
    <t xml:space="preserve">https://github.com/bkshepherd/DaisySeedProjects/blob/main/Hardware/GuitarPedal125b/pcb/BOM_JLCSMT_DaisySeedGuitarPedal125b.xlsx</t>
  </si>
  <si>
    <t xml:space="preserve">Download centroid / CPL (.csv)</t>
  </si>
  <si>
    <t xml:space="preserve">https://github.com/bkshepherd/DaisySeedProjects/blob/main/Hardware/GuitarPedal125b/pcb/JLCPCB-Gerbers/DaisySeedPedal125b-top-pos.csv</t>
  </si>
  <si>
    <t xml:space="preserve">Ordine 5 PCB assemblate (minimo d'ordine JLCPCB)</t>
  </si>
  <si>
    <t xml:space="preserve">JLCPCB</t>
  </si>
  <si>
    <t xml:space="preserve">https://www.jlcpcb.com</t>
  </si>
  <si>
    <t xml:space="preserve">Opzioni: finitura ENIG (non HASL), Confirm Production File, PCB Assembly ON, solo lato TOP, Confirm Parts Placement. Alla conferma BOM/CPL devi vedere 28 parti rilevate e 28 confermate.</t>
  </si>
  <si>
    <t xml:space="preserve">Far montare a JLCPCB anche i 2 header 20 pin (opzione in assemblaggio)</t>
  </si>
  <si>
    <t xml:space="preserve">-</t>
  </si>
  <si>
    <t xml:space="preserve">Consigliato: risparmia 40 saldature a mano. Se lo fai, salta la riga header sotto.</t>
  </si>
  <si>
    <t xml:space="preserve">2 - Parti da saldare a mano</t>
  </si>
  <si>
    <t xml:space="preserve">Header femmina 20 pin, passo 2.54, torniti</t>
  </si>
  <si>
    <t xml:space="preserve">TME / Mouser</t>
  </si>
  <si>
    <t xml:space="preserve">Solo se NON li fa montare JLCPCB. Vanno sul lato con gli SMD.</t>
  </si>
  <si>
    <t xml:space="preserve">Potenziometro Alpha RD901F-40-15R1-B10K, 10K lin, 9mm PCB</t>
  </si>
  <si>
    <t xml:space="preserve">Tayda / Musikding / Banzai</t>
  </si>
  <si>
    <t xml:space="preserve">https://www.taydaelectronics.com/10k-ohm-linear-taper-potentiometer-round-shaft-pcb-9mm.html</t>
  </si>
  <si>
    <t xml:space="preserve">TRAPPOLA: i distanziali metallici dei pot 4-6 toccano i pin degli header Daisy. Vanno tagliati dal lato vicino ai pin, altrimenti corto.</t>
  </si>
  <si>
    <t xml:space="preserve">Encoder rotativo Bourns PEC11R-4220K-S24</t>
  </si>
  <si>
    <t xml:space="preserve">Mouser / TME</t>
  </si>
  <si>
    <t xml:space="preserve">https://www.mouser.com/ProductDetail/652-PEC11R-4220K-S24</t>
  </si>
  <si>
    <t xml:space="preserve">Magazzino europeo disponibile su entrambi.</t>
  </si>
  <si>
    <t xml:space="preserve">Display OLED 0.96" 128x64 I2C SSD1306</t>
  </si>
  <si>
    <t xml:space="preserve">TME / Amazon IT</t>
  </si>
  <si>
    <t xml:space="preserve">Si salda con il SUO header, non con uno zoccolo femmina sul PCB. Servono distanziali esagonali nylon M2 da 6mm per allinearlo al pannello.</t>
  </si>
  <si>
    <t xml:space="preserve">LED 3mm (colore a piacere)</t>
  </si>
  <si>
    <t xml:space="preserve">Musikding / Tayda</t>
  </si>
  <si>
    <t xml:space="preserve">Gambe da accorciare per allinearsi al contenitore. Pin corto sulla piazzola quadrata.</t>
  </si>
  <si>
    <t xml:space="preserve">Footswitch momentaneo SPST, normalmente aperto</t>
  </si>
  <si>
    <t xml:space="preserve">Musikding / Banzai</t>
  </si>
  <si>
    <t xml:space="preserve">Momentanei, NON latching: il bypass lo gestisce il relè via firmware.</t>
  </si>
  <si>
    <t xml:space="preserve">Distanziali esagonali nylon M2 6mm per OLED</t>
  </si>
  <si>
    <t xml:space="preserve">3 - Contenitore</t>
  </si>
  <si>
    <t xml:space="preserve">Contenitore 125B forato su misura e verniciato</t>
  </si>
  <si>
    <t xml:space="preserve">Tayda (template pronto)</t>
  </si>
  <si>
    <t xml:space="preserve">https://drill.taydakits.com/box-designs/new?public_key=MlRHaUhqaEVXOVVFZ1ErV1FiTXlrQT09Cg==</t>
  </si>
  <si>
    <t xml:space="preserve">Alternativa: file STEP e FreeCAD nel repo, cartella enclosure, per stampa 3D o fresatura locale (niente dazi).</t>
  </si>
  <si>
    <t xml:space="preserve">Manopola per potenziometro, albero liscio 6mm</t>
  </si>
  <si>
    <t xml:space="preserve">Musikding / Banzai / Tayda</t>
  </si>
  <si>
    <t xml:space="preserve">Manopola per encoder</t>
  </si>
  <si>
    <t xml:space="preserve">Portaled da pannello 3mm</t>
  </si>
  <si>
    <t xml:space="preserve">4 - Già in tuo possesso</t>
  </si>
  <si>
    <t xml:space="preserve">Daisy Seed3</t>
  </si>
  <si>
    <t xml:space="preserve">daisy.audio</t>
  </si>
  <si>
    <t xml:space="preserve">https://daisy.audio/products/seed3</t>
  </si>
  <si>
    <t xml:space="preserve">Già acquistato. Listino 29,99 USD se ne servisse un secondo.</t>
  </si>
  <si>
    <t xml:space="preserve">Cavo USB-C per flashare</t>
  </si>
  <si>
    <t xml:space="preserve">Il Seed3 ha USB-C onboard: niente più micro-USB.</t>
  </si>
  <si>
    <t xml:space="preserve">5 - Extra opzionali</t>
  </si>
  <si>
    <t xml:space="preserve">Alimentatore 9V center-negative isolato</t>
  </si>
  <si>
    <t xml:space="preserve">Musikding / Thomann</t>
  </si>
  <si>
    <t xml:space="preserve">L'autore ha tolto l'isolatore DC-DC dalla Rev6 contando su un'alimentazione già isolata. Non usare un alimentatore scadente.</t>
  </si>
  <si>
    <t xml:space="preserve">Scorta componenti SMD critici per riparazioni</t>
  </si>
  <si>
    <t xml:space="preserve">Facoltativo.</t>
  </si>
  <si>
    <t xml:space="preserve">TOTALE</t>
  </si>
  <si>
    <t xml:space="preserve">LEGENDA - le celle in blu su sfondo giallo sono quelle da compilare: Q.tà, Prezzo unit., Fatto.</t>
  </si>
  <si>
    <t xml:space="preserve">La colonna Totale si calcola da sola (Q.tà x Prezzo unit.) e resta vuota finché non inserisci un prezzo.</t>
  </si>
  <si>
    <t xml:space="preserve">Esempio di riga compilata: Q.tà 6, Prezzo unit. 1,20 -&gt; Totale 7,20.</t>
  </si>
  <si>
    <t xml:space="preserve">Nessun prezzo è precompilato: variano per fornitore, quantità e cambio. Da verificare al momento dell'ordine.</t>
  </si>
  <si>
    <t xml:space="preserve">Spedizioni da JLCPCB (Cina) e Tayda (Thailandia): calcola IVA all'importazione ed eventuali dazi.</t>
  </si>
  <si>
    <t xml:space="preserve">Fornitori senza dogana per l'Italia: TME (PL), Mouser (magazzino EU), Musikding e Banzai (DE), Thomann (DE).</t>
  </si>
  <si>
    <t xml:space="preserve">Verifica</t>
  </si>
  <si>
    <t xml:space="preserve">Perché</t>
  </si>
  <si>
    <t xml:space="preserve">Esito</t>
  </si>
  <si>
    <t xml:space="preserve">Compatibilità elettrica</t>
  </si>
  <si>
    <t xml:space="preserve">Daisy dichiara il Seed3 pin-to-pin compatibile con l'hardware Seed esistente, senza modifiche al circuito esterno. L'Hothouse è già dichiarato Seed3 compatible. Quindi il PCB Rev6 non va modificato.</t>
  </si>
  <si>
    <t xml:space="preserve">Accesso meccanico alla USB</t>
  </si>
  <si>
    <t xml:space="preserve">Il Seed3 ha USB-C al posto della micro-USB. Il PCB Rev6 prevede accesso alla porta USB e ai pulsanti di reset: verificare che il taglio del contenitore e la posizione della porta coincidano. È il punto di rischio più concreto.</t>
  </si>
  <si>
    <t xml:space="preserve">Profilo più basso</t>
  </si>
  <si>
    <t xml:space="preserve">Il Seed3 ha l'header JTAG non popolato ed è più basso: gioca a favore, non contro, nello spazio sotto la scheda.</t>
  </si>
  <si>
    <t xml:space="preserve">Filtro RC in uscita</t>
  </si>
  <si>
    <t xml:space="preserve">La Rev6 ha aggiunto un RC passa-basso dopo le uscite audio per il rumore fuori banda del Seed Rev7. Con il noise floor del Seed3 potrebbe non servire più, ma non fa danno: lasciarlo.</t>
  </si>
  <si>
    <t xml:space="preserve">Frequenza di campionamento</t>
  </si>
  <si>
    <t xml:space="preserve">Qui sta il vero guadagno del Seed3, ed è tutto firmware: 32 bit fino a 192 kHz contro i 48 kHz tipici dei progetti Daisy esistenti. Il PCB non cambia, cambia il codice.</t>
  </si>
  <si>
    <t xml:space="preserve">Conferma dalla community</t>
  </si>
  <si>
    <t xml:space="preserve">Prima di impegnarsi su 5 schede assemblate: chiedere sul Discord Daisy o sul forum se qualcuno ha già montato un Seed3 su un 125B Rev6.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</si>
</sst>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C7CE"/>
        <bgColor rgb="FFD9D9D9"/>
      </patternFill>
    </fill>
    <fill>
      <patternFill patternType="solid">
        <fgColor rgb="FFFFFFCC"/>
        <bgColor rgb="FFFFF2CC"/>
      </patternFill>
    </fill>
    <fill>
      <patternFill patternType="solid">
        <fgColor rgb="FFDDEBF7"/>
        <bgColor rgb="FFEDEDED"/>
      </patternFill>
    </fill>
    <fill>
      <patternFill patternType="solid">
        <fgColor rgb="FFE2EFDA"/>
        <bgColor rgb="FFEDEDED"/>
      </patternFill>
    </fill>
    <fill>
      <patternFill patternType="solid">
        <fgColor rgb="FFFFF2CC"/>
        <bgColor rgb="FFFFFFCC"/>
      </patternFill>
    </fill>
    <fill>
      <patternFill patternType="solid">
        <fgColor rgb="FFD9D9D9"/>
        <bgColor rgb="FFDDEBF7"/>
      </patternFill>
    </fill>
    <fill>
      <patternFill patternType="solid">
        <fgColor rgb="FFEDEDED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40404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FF2C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4"/>
    <col collapsed="false" customWidth="true" hidden="false" outlineLevel="0" max="3" min="3" style="0" width="46"/>
    <col collapsed="false" customWidth="true" hidden="false" outlineLevel="0" max="4" min="4" style="0" width="7"/>
    <col collapsed="false" customWidth="true" hidden="false" outlineLevel="0" max="5" min="5" style="0" width="24"/>
    <col collapsed="false" customWidth="true" hidden="false" outlineLevel="0" max="6" min="6" style="0" width="58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8"/>
    <col collapsed="false" customWidth="true" hidden="false" outlineLevel="0" max="10" min="10" style="0" width="66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35.05" hidden="false" customHeight="false" outlineLevel="0" collapsed="false">
      <c r="A2" s="2" t="n">
        <v>1</v>
      </c>
      <c r="B2" s="3" t="s">
        <v>10</v>
      </c>
      <c r="C2" s="4" t="s">
        <v>11</v>
      </c>
      <c r="D2" s="5" t="n">
        <v>6</v>
      </c>
      <c r="E2" s="6" t="s">
        <v>12</v>
      </c>
      <c r="F2" s="4" t="s">
        <v>13</v>
      </c>
      <c r="G2" s="7"/>
      <c r="H2" s="8" t="str">
        <f aca="false">IF(G2="","",D2*G2)</f>
        <v/>
      </c>
      <c r="I2" s="5"/>
      <c r="J2" s="4" t="s">
        <v>14</v>
      </c>
    </row>
    <row r="3" customFormat="false" ht="35.05" hidden="false" customHeight="false" outlineLevel="0" collapsed="false">
      <c r="A3" s="2" t="n">
        <v>2</v>
      </c>
      <c r="B3" s="9" t="s">
        <v>15</v>
      </c>
      <c r="C3" s="4" t="s">
        <v>16</v>
      </c>
      <c r="D3" s="5" t="n">
        <v>1</v>
      </c>
      <c r="E3" s="6" t="s">
        <v>17</v>
      </c>
      <c r="F3" s="4" t="s">
        <v>18</v>
      </c>
      <c r="G3" s="7"/>
      <c r="H3" s="8" t="str">
        <f aca="false">IF(G3="","",D3*G3)</f>
        <v/>
      </c>
      <c r="I3" s="5"/>
      <c r="J3" s="4" t="s">
        <v>19</v>
      </c>
    </row>
    <row r="4" customFormat="false" ht="35.05" hidden="false" customHeight="false" outlineLevel="0" collapsed="false">
      <c r="A4" s="2" t="n">
        <v>3</v>
      </c>
      <c r="B4" s="9" t="s">
        <v>15</v>
      </c>
      <c r="C4" s="4" t="s">
        <v>20</v>
      </c>
      <c r="D4" s="5" t="n">
        <v>1</v>
      </c>
      <c r="E4" s="6" t="s">
        <v>17</v>
      </c>
      <c r="F4" s="4" t="s">
        <v>21</v>
      </c>
      <c r="G4" s="7"/>
      <c r="H4" s="8" t="str">
        <f aca="false">IF(G4="","",D4*G4)</f>
        <v/>
      </c>
      <c r="I4" s="5"/>
      <c r="J4" s="4" t="s">
        <v>19</v>
      </c>
    </row>
    <row r="5" customFormat="false" ht="35.05" hidden="false" customHeight="false" outlineLevel="0" collapsed="false">
      <c r="A5" s="2" t="n">
        <v>4</v>
      </c>
      <c r="B5" s="9" t="s">
        <v>15</v>
      </c>
      <c r="C5" s="4" t="s">
        <v>22</v>
      </c>
      <c r="D5" s="5" t="n">
        <v>1</v>
      </c>
      <c r="E5" s="6" t="s">
        <v>17</v>
      </c>
      <c r="F5" s="4" t="s">
        <v>23</v>
      </c>
      <c r="G5" s="7"/>
      <c r="H5" s="8" t="str">
        <f aca="false">IF(G5="","",D5*G5)</f>
        <v/>
      </c>
      <c r="I5" s="5"/>
      <c r="J5" s="4" t="s">
        <v>19</v>
      </c>
    </row>
    <row r="6" customFormat="false" ht="35.05" hidden="false" customHeight="false" outlineLevel="0" collapsed="false">
      <c r="A6" s="2" t="n">
        <v>5</v>
      </c>
      <c r="B6" s="9" t="s">
        <v>15</v>
      </c>
      <c r="C6" s="4" t="s">
        <v>24</v>
      </c>
      <c r="D6" s="5" t="n">
        <v>5</v>
      </c>
      <c r="E6" s="6" t="s">
        <v>25</v>
      </c>
      <c r="F6" s="4" t="s">
        <v>26</v>
      </c>
      <c r="G6" s="7"/>
      <c r="H6" s="8" t="str">
        <f aca="false">IF(G6="","",D6*G6)</f>
        <v/>
      </c>
      <c r="I6" s="5"/>
      <c r="J6" s="4" t="s">
        <v>27</v>
      </c>
    </row>
    <row r="7" customFormat="false" ht="23.85" hidden="false" customHeight="false" outlineLevel="0" collapsed="false">
      <c r="A7" s="2" t="n">
        <v>6</v>
      </c>
      <c r="B7" s="9" t="s">
        <v>15</v>
      </c>
      <c r="C7" s="4" t="s">
        <v>28</v>
      </c>
      <c r="D7" s="5" t="n">
        <v>1</v>
      </c>
      <c r="E7" s="6" t="s">
        <v>25</v>
      </c>
      <c r="F7" s="4" t="s">
        <v>29</v>
      </c>
      <c r="G7" s="7"/>
      <c r="H7" s="8" t="str">
        <f aca="false">IF(G7="","",D7*G7)</f>
        <v/>
      </c>
      <c r="I7" s="5"/>
      <c r="J7" s="4" t="s">
        <v>30</v>
      </c>
    </row>
    <row r="8" customFormat="false" ht="15" hidden="false" customHeight="false" outlineLevel="0" collapsed="false">
      <c r="A8" s="2" t="n">
        <v>7</v>
      </c>
      <c r="B8" s="10" t="s">
        <v>31</v>
      </c>
      <c r="C8" s="4" t="s">
        <v>32</v>
      </c>
      <c r="D8" s="5" t="n">
        <v>2</v>
      </c>
      <c r="E8" s="6" t="s">
        <v>33</v>
      </c>
      <c r="F8" s="4" t="s">
        <v>29</v>
      </c>
      <c r="G8" s="7"/>
      <c r="H8" s="8" t="str">
        <f aca="false">IF(G8="","",D8*G8)</f>
        <v/>
      </c>
      <c r="I8" s="5"/>
      <c r="J8" s="4" t="s">
        <v>34</v>
      </c>
    </row>
    <row r="9" customFormat="false" ht="23.85" hidden="false" customHeight="false" outlineLevel="0" collapsed="false">
      <c r="A9" s="2" t="n">
        <v>8</v>
      </c>
      <c r="B9" s="10" t="s">
        <v>31</v>
      </c>
      <c r="C9" s="4" t="s">
        <v>35</v>
      </c>
      <c r="D9" s="5" t="n">
        <v>6</v>
      </c>
      <c r="E9" s="6" t="s">
        <v>36</v>
      </c>
      <c r="F9" s="4" t="s">
        <v>37</v>
      </c>
      <c r="G9" s="7"/>
      <c r="H9" s="8" t="str">
        <f aca="false">IF(G9="","",D9*G9)</f>
        <v/>
      </c>
      <c r="I9" s="5"/>
      <c r="J9" s="4" t="s">
        <v>38</v>
      </c>
    </row>
    <row r="10" customFormat="false" ht="15" hidden="false" customHeight="false" outlineLevel="0" collapsed="false">
      <c r="A10" s="2" t="n">
        <v>9</v>
      </c>
      <c r="B10" s="10" t="s">
        <v>31</v>
      </c>
      <c r="C10" s="4" t="s">
        <v>39</v>
      </c>
      <c r="D10" s="5" t="n">
        <v>1</v>
      </c>
      <c r="E10" s="6" t="s">
        <v>40</v>
      </c>
      <c r="F10" s="4" t="s">
        <v>41</v>
      </c>
      <c r="G10" s="7"/>
      <c r="H10" s="8" t="str">
        <f aca="false">IF(G10="","",D10*G10)</f>
        <v/>
      </c>
      <c r="I10" s="5"/>
      <c r="J10" s="4" t="s">
        <v>42</v>
      </c>
    </row>
    <row r="11" customFormat="false" ht="23.85" hidden="false" customHeight="false" outlineLevel="0" collapsed="false">
      <c r="A11" s="2" t="n">
        <v>10</v>
      </c>
      <c r="B11" s="10" t="s">
        <v>31</v>
      </c>
      <c r="C11" s="4" t="s">
        <v>43</v>
      </c>
      <c r="D11" s="5" t="n">
        <v>1</v>
      </c>
      <c r="E11" s="6" t="s">
        <v>44</v>
      </c>
      <c r="F11" s="4" t="s">
        <v>29</v>
      </c>
      <c r="G11" s="7"/>
      <c r="H11" s="8" t="str">
        <f aca="false">IF(G11="","",D11*G11)</f>
        <v/>
      </c>
      <c r="I11" s="5"/>
      <c r="J11" s="4" t="s">
        <v>45</v>
      </c>
    </row>
    <row r="12" customFormat="false" ht="23.85" hidden="false" customHeight="false" outlineLevel="0" collapsed="false">
      <c r="A12" s="2" t="n">
        <v>11</v>
      </c>
      <c r="B12" s="10" t="s">
        <v>31</v>
      </c>
      <c r="C12" s="4" t="s">
        <v>46</v>
      </c>
      <c r="D12" s="5" t="n">
        <v>2</v>
      </c>
      <c r="E12" s="6" t="s">
        <v>47</v>
      </c>
      <c r="F12" s="4" t="s">
        <v>29</v>
      </c>
      <c r="G12" s="7"/>
      <c r="H12" s="8" t="str">
        <f aca="false">IF(G12="","",D12*G12)</f>
        <v/>
      </c>
      <c r="I12" s="5"/>
      <c r="J12" s="4" t="s">
        <v>48</v>
      </c>
    </row>
    <row r="13" customFormat="false" ht="15" hidden="false" customHeight="false" outlineLevel="0" collapsed="false">
      <c r="A13" s="2" t="n">
        <v>12</v>
      </c>
      <c r="B13" s="10" t="s">
        <v>31</v>
      </c>
      <c r="C13" s="4" t="s">
        <v>49</v>
      </c>
      <c r="D13" s="5" t="n">
        <v>2</v>
      </c>
      <c r="E13" s="6" t="s">
        <v>50</v>
      </c>
      <c r="F13" s="4" t="s">
        <v>29</v>
      </c>
      <c r="G13" s="7"/>
      <c r="H13" s="8" t="str">
        <f aca="false">IF(G13="","",D13*G13)</f>
        <v/>
      </c>
      <c r="I13" s="5"/>
      <c r="J13" s="4" t="s">
        <v>51</v>
      </c>
    </row>
    <row r="14" customFormat="false" ht="15" hidden="false" customHeight="false" outlineLevel="0" collapsed="false">
      <c r="A14" s="2" t="n">
        <v>13</v>
      </c>
      <c r="B14" s="10" t="s">
        <v>31</v>
      </c>
      <c r="C14" s="4" t="s">
        <v>52</v>
      </c>
      <c r="D14" s="5" t="n">
        <v>4</v>
      </c>
      <c r="E14" s="6" t="s">
        <v>33</v>
      </c>
      <c r="F14" s="4" t="s">
        <v>29</v>
      </c>
      <c r="G14" s="7"/>
      <c r="H14" s="8" t="str">
        <f aca="false">IF(G14="","",D14*G14)</f>
        <v/>
      </c>
      <c r="I14" s="5"/>
      <c r="J14" s="4"/>
    </row>
    <row r="15" customFormat="false" ht="23.85" hidden="false" customHeight="false" outlineLevel="0" collapsed="false">
      <c r="A15" s="2" t="n">
        <v>14</v>
      </c>
      <c r="B15" s="11" t="s">
        <v>53</v>
      </c>
      <c r="C15" s="4" t="s">
        <v>54</v>
      </c>
      <c r="D15" s="5" t="n">
        <v>1</v>
      </c>
      <c r="E15" s="6" t="s">
        <v>55</v>
      </c>
      <c r="F15" s="4" t="s">
        <v>56</v>
      </c>
      <c r="G15" s="7"/>
      <c r="H15" s="8" t="str">
        <f aca="false">IF(G15="","",D15*G15)</f>
        <v/>
      </c>
      <c r="I15" s="5"/>
      <c r="J15" s="4" t="s">
        <v>57</v>
      </c>
    </row>
    <row r="16" customFormat="false" ht="15" hidden="false" customHeight="false" outlineLevel="0" collapsed="false">
      <c r="A16" s="2" t="n">
        <v>15</v>
      </c>
      <c r="B16" s="11" t="s">
        <v>53</v>
      </c>
      <c r="C16" s="4" t="s">
        <v>58</v>
      </c>
      <c r="D16" s="5" t="n">
        <v>6</v>
      </c>
      <c r="E16" s="6" t="s">
        <v>59</v>
      </c>
      <c r="F16" s="4" t="s">
        <v>29</v>
      </c>
      <c r="G16" s="7"/>
      <c r="H16" s="8" t="str">
        <f aca="false">IF(G16="","",D16*G16)</f>
        <v/>
      </c>
      <c r="I16" s="5"/>
      <c r="J16" s="4"/>
    </row>
    <row r="17" customFormat="false" ht="15" hidden="false" customHeight="false" outlineLevel="0" collapsed="false">
      <c r="A17" s="2" t="n">
        <v>16</v>
      </c>
      <c r="B17" s="11" t="s">
        <v>53</v>
      </c>
      <c r="C17" s="4" t="s">
        <v>60</v>
      </c>
      <c r="D17" s="5" t="n">
        <v>1</v>
      </c>
      <c r="E17" s="6" t="s">
        <v>50</v>
      </c>
      <c r="F17" s="4" t="s">
        <v>29</v>
      </c>
      <c r="G17" s="7"/>
      <c r="H17" s="8" t="str">
        <f aca="false">IF(G17="","",D17*G17)</f>
        <v/>
      </c>
      <c r="I17" s="5"/>
      <c r="J17" s="4"/>
    </row>
    <row r="18" customFormat="false" ht="15" hidden="false" customHeight="false" outlineLevel="0" collapsed="false">
      <c r="A18" s="2" t="n">
        <v>17</v>
      </c>
      <c r="B18" s="11" t="s">
        <v>53</v>
      </c>
      <c r="C18" s="4" t="s">
        <v>61</v>
      </c>
      <c r="D18" s="5" t="n">
        <v>2</v>
      </c>
      <c r="E18" s="6" t="s">
        <v>50</v>
      </c>
      <c r="F18" s="4" t="s">
        <v>29</v>
      </c>
      <c r="G18" s="7"/>
      <c r="H18" s="8" t="str">
        <f aca="false">IF(G18="","",D18*G18)</f>
        <v/>
      </c>
      <c r="I18" s="5"/>
      <c r="J18" s="4"/>
    </row>
    <row r="19" customFormat="false" ht="15" hidden="false" customHeight="false" outlineLevel="0" collapsed="false">
      <c r="A19" s="2" t="n">
        <v>18</v>
      </c>
      <c r="B19" s="12" t="s">
        <v>62</v>
      </c>
      <c r="C19" s="4" t="s">
        <v>63</v>
      </c>
      <c r="D19" s="5" t="n">
        <v>1</v>
      </c>
      <c r="E19" s="6" t="s">
        <v>64</v>
      </c>
      <c r="F19" s="4" t="s">
        <v>65</v>
      </c>
      <c r="G19" s="7"/>
      <c r="H19" s="8" t="str">
        <f aca="false">IF(G19="","",D19*G19)</f>
        <v/>
      </c>
      <c r="I19" s="5"/>
      <c r="J19" s="4" t="s">
        <v>66</v>
      </c>
    </row>
    <row r="20" customFormat="false" ht="15" hidden="false" customHeight="false" outlineLevel="0" collapsed="false">
      <c r="A20" s="2" t="n">
        <v>19</v>
      </c>
      <c r="B20" s="12" t="s">
        <v>62</v>
      </c>
      <c r="C20" s="4" t="s">
        <v>67</v>
      </c>
      <c r="D20" s="5" t="n">
        <v>1</v>
      </c>
      <c r="E20" s="6" t="s">
        <v>29</v>
      </c>
      <c r="F20" s="4" t="s">
        <v>29</v>
      </c>
      <c r="G20" s="7"/>
      <c r="H20" s="8" t="str">
        <f aca="false">IF(G20="","",D20*G20)</f>
        <v/>
      </c>
      <c r="I20" s="5"/>
      <c r="J20" s="4" t="s">
        <v>68</v>
      </c>
    </row>
    <row r="21" customFormat="false" ht="23.85" hidden="false" customHeight="false" outlineLevel="0" collapsed="false">
      <c r="A21" s="2" t="n">
        <v>20</v>
      </c>
      <c r="B21" s="13" t="s">
        <v>69</v>
      </c>
      <c r="C21" s="4" t="s">
        <v>70</v>
      </c>
      <c r="D21" s="5" t="n">
        <v>1</v>
      </c>
      <c r="E21" s="6" t="s">
        <v>71</v>
      </c>
      <c r="F21" s="4" t="s">
        <v>29</v>
      </c>
      <c r="G21" s="7"/>
      <c r="H21" s="8" t="str">
        <f aca="false">IF(G21="","",D21*G21)</f>
        <v/>
      </c>
      <c r="I21" s="5"/>
      <c r="J21" s="4" t="s">
        <v>72</v>
      </c>
    </row>
    <row r="22" customFormat="false" ht="15" hidden="false" customHeight="false" outlineLevel="0" collapsed="false">
      <c r="A22" s="2" t="n">
        <v>21</v>
      </c>
      <c r="B22" s="13" t="s">
        <v>69</v>
      </c>
      <c r="C22" s="4" t="s">
        <v>73</v>
      </c>
      <c r="D22" s="5" t="n">
        <v>1</v>
      </c>
      <c r="E22" s="6" t="s">
        <v>33</v>
      </c>
      <c r="F22" s="4" t="s">
        <v>29</v>
      </c>
      <c r="G22" s="7"/>
      <c r="H22" s="8" t="str">
        <f aca="false">IF(G22="","",D22*G22)</f>
        <v/>
      </c>
      <c r="I22" s="5"/>
      <c r="J22" s="4" t="s">
        <v>74</v>
      </c>
    </row>
    <row r="23" customFormat="false" ht="15" hidden="false" customHeight="false" outlineLevel="0" collapsed="false">
      <c r="G23" s="14" t="s">
        <v>75</v>
      </c>
      <c r="H23" s="15" t="n">
        <f aca="false">SUM(H2:H22)</f>
        <v>0</v>
      </c>
    </row>
    <row r="25" customFormat="false" ht="15" hidden="false" customHeight="false" outlineLevel="0" collapsed="false">
      <c r="A25" s="16" t="s">
        <v>76</v>
      </c>
    </row>
    <row r="26" customFormat="false" ht="15" hidden="false" customHeight="false" outlineLevel="0" collapsed="false">
      <c r="A26" s="16" t="s">
        <v>77</v>
      </c>
    </row>
    <row r="27" customFormat="false" ht="15" hidden="false" customHeight="false" outlineLevel="0" collapsed="false">
      <c r="A27" s="16" t="s">
        <v>78</v>
      </c>
    </row>
    <row r="28" customFormat="false" ht="15" hidden="false" customHeight="false" outlineLevel="0" collapsed="false">
      <c r="A28" s="16"/>
    </row>
    <row r="29" customFormat="false" ht="15" hidden="false" customHeight="false" outlineLevel="0" collapsed="false">
      <c r="A29" s="16" t="s">
        <v>79</v>
      </c>
    </row>
    <row r="30" customFormat="false" ht="15" hidden="false" customHeight="false" outlineLevel="0" collapsed="false">
      <c r="A30" s="16" t="s">
        <v>80</v>
      </c>
    </row>
    <row r="31" customFormat="false" ht="15" hidden="false" customHeight="false" outlineLevel="0" collapsed="false">
      <c r="A31" s="16" t="s">
        <v>81</v>
      </c>
    </row>
  </sheetData>
  <autoFilter ref="A1:J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3" min="3" style="0" width="92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17" t="s">
        <v>0</v>
      </c>
      <c r="B1" s="17" t="s">
        <v>82</v>
      </c>
      <c r="C1" s="17" t="s">
        <v>83</v>
      </c>
      <c r="D1" s="17" t="s">
        <v>84</v>
      </c>
    </row>
    <row r="2" customFormat="false" ht="23.85" hidden="false" customHeight="false" outlineLevel="0" collapsed="false">
      <c r="A2" s="2" t="n">
        <v>1</v>
      </c>
      <c r="B2" s="6" t="s">
        <v>85</v>
      </c>
      <c r="C2" s="4" t="s">
        <v>86</v>
      </c>
      <c r="D2" s="5"/>
    </row>
    <row r="3" customFormat="false" ht="23.85" hidden="false" customHeight="false" outlineLevel="0" collapsed="false">
      <c r="A3" s="2" t="n">
        <v>2</v>
      </c>
      <c r="B3" s="6" t="s">
        <v>87</v>
      </c>
      <c r="C3" s="4" t="s">
        <v>88</v>
      </c>
      <c r="D3" s="5"/>
    </row>
    <row r="4" customFormat="false" ht="15" hidden="false" customHeight="false" outlineLevel="0" collapsed="false">
      <c r="A4" s="2" t="n">
        <v>3</v>
      </c>
      <c r="B4" s="6" t="s">
        <v>89</v>
      </c>
      <c r="C4" s="4" t="s">
        <v>90</v>
      </c>
      <c r="D4" s="5"/>
    </row>
    <row r="5" customFormat="false" ht="23.85" hidden="false" customHeight="false" outlineLevel="0" collapsed="false">
      <c r="A5" s="2" t="n">
        <v>4</v>
      </c>
      <c r="B5" s="6" t="s">
        <v>91</v>
      </c>
      <c r="C5" s="4" t="s">
        <v>92</v>
      </c>
      <c r="D5" s="5"/>
    </row>
    <row r="6" customFormat="false" ht="23.85" hidden="false" customHeight="false" outlineLevel="0" collapsed="false">
      <c r="A6" s="2" t="n">
        <v>5</v>
      </c>
      <c r="B6" s="6" t="s">
        <v>93</v>
      </c>
      <c r="C6" s="4" t="s">
        <v>94</v>
      </c>
      <c r="D6" s="5"/>
    </row>
    <row r="7" customFormat="false" ht="23.85" hidden="false" customHeight="false" outlineLevel="0" collapsed="false">
      <c r="A7" s="2" t="n">
        <v>6</v>
      </c>
      <c r="B7" s="6" t="s">
        <v>95</v>
      </c>
      <c r="C7" s="4" t="s">
        <v>96</v>
      </c>
      <c r="D7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2026-09-22T18:00:24Z</dcterms:created>
  <dc:creator>openpyxl</dc:creator>
  <dc:description/>
  <dc:language>en-US</dc:language>
  <cp:lastModifiedBy/>
  <dcterms:modified xsi:type="dcterms:W3CDTF">2026-09-22T18:00:24Z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